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filterPrivacy="1" defaultThemeVersion="124226"/>
  <xr:revisionPtr revIDLastSave="2" documentId="11_7852C4944C723C29C7A3DB20018AD2267A1D1D41" xr6:coauthVersionLast="47" xr6:coauthVersionMax="47" xr10:uidLastSave="{8520FB58-F23D-4936-B7F4-7E2928671D7F}"/>
  <bookViews>
    <workbookView xWindow="240" yWindow="108" windowWidth="14808" windowHeight="8016" xr2:uid="{00000000-000D-0000-FFFF-FFFF00000000}"/>
  </bookViews>
  <sheets>
    <sheet name="Лист1" sheetId="1" r:id="rId1"/>
    <sheet name="Лист2" sheetId="2" r:id="rId2"/>
    <sheet name="Лист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<sst xmlns="http://schemas.openxmlformats.org/spreadsheetml/2006/main" count="20" uniqueCount="8">
  <si>
    <t>МОМ ПИ-регулятор</t>
  </si>
  <si>
    <t>МОМ ПИД-регулятор</t>
  </si>
  <si>
    <t>Lambada ПИ-регулятор</t>
  </si>
  <si>
    <t>Lambada ПИД-регулятор</t>
  </si>
  <si>
    <r>
      <rPr>
        <i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scheme val="minor"/>
      </rPr>
      <t>, с</t>
    </r>
  </si>
  <si>
    <r>
      <rPr>
        <i/>
        <sz val="11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</si>
  <si>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charset val="204"/>
        <scheme val="minor"/>
      </rPr>
      <t>t</t>
    </r>
    <r>
      <rPr>
        <i/>
        <vertAlign val="subscript"/>
        <sz val="11"/>
        <color theme="1"/>
        <rFont val="Calibri"/>
        <family val="2"/>
        <charset val="204"/>
        <scheme val="minor"/>
      </rPr>
      <t>рег</t>
    </r>
    <r>
      <rPr>
        <sz val="11"/>
        <color theme="1"/>
        <rFont val="Calibri"/>
        <family val="2"/>
        <scheme val="minor"/>
      </rPr>
      <t>, с</t>
    </r>
  </si>
  <si>
    <r>
      <rPr>
        <i/>
        <sz val="11"/>
        <color theme="1"/>
        <rFont val="Calibri"/>
        <family val="2"/>
        <charset val="204"/>
        <scheme val="minor"/>
      </rPr>
      <t>R</t>
    </r>
    <r>
      <rPr>
        <i/>
        <vertAlign val="subscript"/>
        <sz val="11"/>
        <color theme="1"/>
        <rFont val="Calibri"/>
        <family val="2"/>
        <charset val="204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</si>
</sst>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0000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1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2" fontId="0" fillId="0" borderId="1" xfId="0" applyNumberFormat="1" applyBorder="1"/>
    <xf numFmtId="166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226627620100535E-2"/>
          <c:y val="7.4966287641921578E-2"/>
          <c:w val="0.86086763270346833"/>
          <c:h val="0.8158448082968559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МОМ ПИ-регулятор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Лист1!$A$3:$A$42</c:f>
              <c:numCache>
                <c:formatCode>0.00</c:formatCode>
                <c:ptCount val="40"/>
                <c:pt idx="0">
                  <c:v>0</c:v>
                </c:pt>
                <c:pt idx="1">
                  <c:v>3.16</c:v>
                </c:pt>
                <c:pt idx="2">
                  <c:v>6.32</c:v>
                </c:pt>
                <c:pt idx="3">
                  <c:v>9.48</c:v>
                </c:pt>
                <c:pt idx="4">
                  <c:v>12.64</c:v>
                </c:pt>
                <c:pt idx="5">
                  <c:v>15.8</c:v>
                </c:pt>
                <c:pt idx="6">
                  <c:v>18.96</c:v>
                </c:pt>
                <c:pt idx="7">
                  <c:v>22.12</c:v>
                </c:pt>
                <c:pt idx="8">
                  <c:v>25.28</c:v>
                </c:pt>
                <c:pt idx="9">
                  <c:v>28.44</c:v>
                </c:pt>
                <c:pt idx="10">
                  <c:v>31.6</c:v>
                </c:pt>
                <c:pt idx="11">
                  <c:v>34.760000000000005</c:v>
                </c:pt>
                <c:pt idx="12">
                  <c:v>37.92</c:v>
                </c:pt>
                <c:pt idx="13">
                  <c:v>41.08</c:v>
                </c:pt>
                <c:pt idx="14">
                  <c:v>44.239999999999995</c:v>
                </c:pt>
                <c:pt idx="15">
                  <c:v>47.399999999999991</c:v>
                </c:pt>
                <c:pt idx="16">
                  <c:v>50.559999999999988</c:v>
                </c:pt>
                <c:pt idx="17">
                  <c:v>53.719999999999985</c:v>
                </c:pt>
                <c:pt idx="18">
                  <c:v>56.879999999999981</c:v>
                </c:pt>
                <c:pt idx="19">
                  <c:v>60.039999999999978</c:v>
                </c:pt>
                <c:pt idx="20">
                  <c:v>63.199999999999974</c:v>
                </c:pt>
                <c:pt idx="21">
                  <c:v>66.359999999999971</c:v>
                </c:pt>
                <c:pt idx="22">
                  <c:v>69.519999999999968</c:v>
                </c:pt>
                <c:pt idx="23">
                  <c:v>72.679999999999964</c:v>
                </c:pt>
                <c:pt idx="24">
                  <c:v>75.839999999999961</c:v>
                </c:pt>
                <c:pt idx="25">
                  <c:v>78.999999999999957</c:v>
                </c:pt>
                <c:pt idx="26">
                  <c:v>82.159999999999954</c:v>
                </c:pt>
                <c:pt idx="27">
                  <c:v>85.319999999999951</c:v>
                </c:pt>
                <c:pt idx="28">
                  <c:v>88.479999999999947</c:v>
                </c:pt>
                <c:pt idx="29">
                  <c:v>91.639999999999944</c:v>
                </c:pt>
                <c:pt idx="30">
                  <c:v>94.79999999999994</c:v>
                </c:pt>
                <c:pt idx="31">
                  <c:v>97.959999999999937</c:v>
                </c:pt>
                <c:pt idx="32">
                  <c:v>101.11999999999993</c:v>
                </c:pt>
                <c:pt idx="33">
                  <c:v>104.27999999999993</c:v>
                </c:pt>
                <c:pt idx="34">
                  <c:v>107.43999999999993</c:v>
                </c:pt>
                <c:pt idx="35">
                  <c:v>110.59999999999992</c:v>
                </c:pt>
                <c:pt idx="36">
                  <c:v>113.75999999999992</c:v>
                </c:pt>
                <c:pt idx="37">
                  <c:v>116.91999999999992</c:v>
                </c:pt>
                <c:pt idx="38">
                  <c:v>120.07999999999991</c:v>
                </c:pt>
                <c:pt idx="39">
                  <c:v>123.23999999999991</c:v>
                </c:pt>
              </c:numCache>
            </c:numRef>
          </c:xVal>
          <c:yVal>
            <c:numRef>
              <c:f>Лист1!$B$3:$B$42</c:f>
              <c:numCache>
                <c:formatCode>0.0000000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8.0066059999999994E-2</c:v>
                </c:pt>
                <c:pt idx="7">
                  <c:v>0.85325819999999997</c:v>
                </c:pt>
                <c:pt idx="8">
                  <c:v>2.1183700000000001</c:v>
                </c:pt>
                <c:pt idx="9">
                  <c:v>3.5938599999999998</c:v>
                </c:pt>
                <c:pt idx="10">
                  <c:v>5.1052070000000001</c:v>
                </c:pt>
                <c:pt idx="11">
                  <c:v>6.5497030000000001</c:v>
                </c:pt>
                <c:pt idx="12">
                  <c:v>7.8719900000000003</c:v>
                </c:pt>
                <c:pt idx="13">
                  <c:v>9.0442520000000002</c:v>
                </c:pt>
                <c:pt idx="14">
                  <c:v>10.0441</c:v>
                </c:pt>
                <c:pt idx="15">
                  <c:v>10.85253</c:v>
                </c:pt>
                <c:pt idx="16">
                  <c:v>11.45886</c:v>
                </c:pt>
                <c:pt idx="17">
                  <c:v>11.86164</c:v>
                </c:pt>
                <c:pt idx="18">
                  <c:v>12.067410000000001</c:v>
                </c:pt>
                <c:pt idx="19">
                  <c:v>12.08872</c:v>
                </c:pt>
                <c:pt idx="20">
                  <c:v>11.94209</c:v>
                </c:pt>
                <c:pt idx="21">
                  <c:v>11.64655</c:v>
                </c:pt>
                <c:pt idx="22">
                  <c:v>11.2226</c:v>
                </c:pt>
                <c:pt idx="23">
                  <c:v>10.69144</c:v>
                </c:pt>
                <c:pt idx="24">
                  <c:v>10.07429</c:v>
                </c:pt>
                <c:pt idx="25">
                  <c:v>9.3917640000000002</c:v>
                </c:pt>
                <c:pt idx="26">
                  <c:v>8.6634080000000004</c:v>
                </c:pt>
                <c:pt idx="27">
                  <c:v>7.9073529999999996</c:v>
                </c:pt>
                <c:pt idx="28">
                  <c:v>7.1400030000000001</c:v>
                </c:pt>
                <c:pt idx="29">
                  <c:v>6.3758879999999998</c:v>
                </c:pt>
                <c:pt idx="30">
                  <c:v>5.6275890000000004</c:v>
                </c:pt>
                <c:pt idx="31">
                  <c:v>4.9057139999999997</c:v>
                </c:pt>
                <c:pt idx="32">
                  <c:v>4.2189249999999996</c:v>
                </c:pt>
                <c:pt idx="33">
                  <c:v>3.5740270000000001</c:v>
                </c:pt>
                <c:pt idx="34">
                  <c:v>2.9760680000000002</c:v>
                </c:pt>
                <c:pt idx="35">
                  <c:v>2.4284910000000002</c:v>
                </c:pt>
                <c:pt idx="36">
                  <c:v>1.933281</c:v>
                </c:pt>
                <c:pt idx="37">
                  <c:v>1.4911380000000001</c:v>
                </c:pt>
                <c:pt idx="38">
                  <c:v>1.101642</c:v>
                </c:pt>
                <c:pt idx="39">
                  <c:v>0.76344009999999995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39-4587-81F1-5BF1C6EB65C4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МОМ ПИД-регулятор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Лист1!$G$3:$G$28</c:f>
              <c:numCache>
                <c:formatCode>0.00</c:formatCode>
                <c:ptCount val="26"/>
                <c:pt idx="0">
                  <c:v>0</c:v>
                </c:pt>
                <c:pt idx="1">
                  <c:v>6.32</c:v>
                </c:pt>
                <c:pt idx="2">
                  <c:v>12.64</c:v>
                </c:pt>
                <c:pt idx="3">
                  <c:v>18.96</c:v>
                </c:pt>
                <c:pt idx="4">
                  <c:v>25.28</c:v>
                </c:pt>
                <c:pt idx="5">
                  <c:v>31.6</c:v>
                </c:pt>
                <c:pt idx="6">
                  <c:v>37.92</c:v>
                </c:pt>
                <c:pt idx="7">
                  <c:v>44.24</c:v>
                </c:pt>
                <c:pt idx="8">
                  <c:v>50.56</c:v>
                </c:pt>
                <c:pt idx="9">
                  <c:v>56.88</c:v>
                </c:pt>
                <c:pt idx="10">
                  <c:v>63.2</c:v>
                </c:pt>
                <c:pt idx="11">
                  <c:v>69.52000000000001</c:v>
                </c:pt>
                <c:pt idx="12">
                  <c:v>75.84</c:v>
                </c:pt>
                <c:pt idx="13">
                  <c:v>82.16</c:v>
                </c:pt>
                <c:pt idx="14">
                  <c:v>88.47999999999999</c:v>
                </c:pt>
                <c:pt idx="15">
                  <c:v>94.799999999999983</c:v>
                </c:pt>
                <c:pt idx="16">
                  <c:v>101.11999999999998</c:v>
                </c:pt>
                <c:pt idx="17">
                  <c:v>107.43999999999997</c:v>
                </c:pt>
                <c:pt idx="18">
                  <c:v>113.75999999999996</c:v>
                </c:pt>
                <c:pt idx="19">
                  <c:v>120.07999999999996</c:v>
                </c:pt>
                <c:pt idx="20">
                  <c:v>126.39999999999995</c:v>
                </c:pt>
                <c:pt idx="21">
                  <c:v>132.71999999999994</c:v>
                </c:pt>
                <c:pt idx="22">
                  <c:v>139.03999999999994</c:v>
                </c:pt>
                <c:pt idx="23">
                  <c:v>145.35999999999993</c:v>
                </c:pt>
                <c:pt idx="24">
                  <c:v>151.67999999999992</c:v>
                </c:pt>
                <c:pt idx="25">
                  <c:v>157.99999999999991</c:v>
                </c:pt>
              </c:numCache>
            </c:numRef>
          </c:xVal>
          <c:yVal>
            <c:numRef>
              <c:f>Лист1!$H$3:$H$28</c:f>
              <c:numCache>
                <c:formatCode>0.00000000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8.0066059999999994E-2</c:v>
                </c:pt>
                <c:pt idx="4">
                  <c:v>2.1183700000000001</c:v>
                </c:pt>
                <c:pt idx="5">
                  <c:v>5.1052070000000001</c:v>
                </c:pt>
                <c:pt idx="6">
                  <c:v>7.8717180000000004</c:v>
                </c:pt>
                <c:pt idx="7">
                  <c:v>9.9408220000000007</c:v>
                </c:pt>
                <c:pt idx="8">
                  <c:v>10.94411</c:v>
                </c:pt>
                <c:pt idx="9">
                  <c:v>10.82691</c:v>
                </c:pt>
                <c:pt idx="10">
                  <c:v>9.7517420000000001</c:v>
                </c:pt>
                <c:pt idx="11">
                  <c:v>7.998221</c:v>
                </c:pt>
                <c:pt idx="12">
                  <c:v>5.9005460000000003</c:v>
                </c:pt>
                <c:pt idx="13">
                  <c:v>3.7776040000000002</c:v>
                </c:pt>
                <c:pt idx="14">
                  <c:v>1.8869560000000001</c:v>
                </c:pt>
                <c:pt idx="15">
                  <c:v>0.40003300000000003</c:v>
                </c:pt>
                <c:pt idx="16">
                  <c:v>-0.60416510000000001</c:v>
                </c:pt>
                <c:pt idx="17">
                  <c:v>-1.12951</c:v>
                </c:pt>
                <c:pt idx="18">
                  <c:v>-1.2431760000000001</c:v>
                </c:pt>
                <c:pt idx="19">
                  <c:v>-1.0513729999999999</c:v>
                </c:pt>
                <c:pt idx="20">
                  <c:v>-0.67495819999999995</c:v>
                </c:pt>
                <c:pt idx="21">
                  <c:v>-0.22894100000000001</c:v>
                </c:pt>
                <c:pt idx="22">
                  <c:v>0.19240470000000001</c:v>
                </c:pt>
                <c:pt idx="23">
                  <c:v>0.52378270000000005</c:v>
                </c:pt>
                <c:pt idx="24">
                  <c:v>0.73092270000000004</c:v>
                </c:pt>
                <c:pt idx="25">
                  <c:v>0.80765819999999999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39-4587-81F1-5BF1C6EB65C4}"/>
            </c:ext>
          </c:extLst>
        </c:ser>
        <c:ser>
          <c:idx val="2"/>
          <c:order val="2"/>
          <c:tx>
            <c:strRef>
              <c:f>Лист1!$M$1</c:f>
              <c:strCache>
                <c:ptCount val="1"/>
                <c:pt idx="0">
                  <c:v>Lambada ПИ-регулятор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Лист1!$M$3:$M$28</c:f>
              <c:numCache>
                <c:formatCode>0.00</c:formatCode>
                <c:ptCount val="26"/>
                <c:pt idx="0">
                  <c:v>0</c:v>
                </c:pt>
                <c:pt idx="1">
                  <c:v>6.32</c:v>
                </c:pt>
                <c:pt idx="2">
                  <c:v>12.64</c:v>
                </c:pt>
                <c:pt idx="3">
                  <c:v>18.96</c:v>
                </c:pt>
                <c:pt idx="4">
                  <c:v>25.28</c:v>
                </c:pt>
                <c:pt idx="5">
                  <c:v>31.6</c:v>
                </c:pt>
                <c:pt idx="6">
                  <c:v>37.92</c:v>
                </c:pt>
                <c:pt idx="7">
                  <c:v>44.24</c:v>
                </c:pt>
                <c:pt idx="8">
                  <c:v>50.56</c:v>
                </c:pt>
                <c:pt idx="9">
                  <c:v>56.88</c:v>
                </c:pt>
                <c:pt idx="10">
                  <c:v>63.2</c:v>
                </c:pt>
                <c:pt idx="11">
                  <c:v>69.52000000000001</c:v>
                </c:pt>
                <c:pt idx="12">
                  <c:v>75.84</c:v>
                </c:pt>
                <c:pt idx="13">
                  <c:v>82.16</c:v>
                </c:pt>
                <c:pt idx="14">
                  <c:v>88.47999999999999</c:v>
                </c:pt>
                <c:pt idx="15">
                  <c:v>94.799999999999983</c:v>
                </c:pt>
                <c:pt idx="16">
                  <c:v>101.11999999999998</c:v>
                </c:pt>
                <c:pt idx="17">
                  <c:v>107.43999999999997</c:v>
                </c:pt>
                <c:pt idx="18">
                  <c:v>113.75999999999996</c:v>
                </c:pt>
                <c:pt idx="19">
                  <c:v>120.07999999999996</c:v>
                </c:pt>
                <c:pt idx="20">
                  <c:v>126.39999999999995</c:v>
                </c:pt>
                <c:pt idx="21">
                  <c:v>132.71999999999994</c:v>
                </c:pt>
                <c:pt idx="22">
                  <c:v>139.03999999999994</c:v>
                </c:pt>
                <c:pt idx="23">
                  <c:v>145.35999999999993</c:v>
                </c:pt>
                <c:pt idx="24">
                  <c:v>151.67999999999992</c:v>
                </c:pt>
                <c:pt idx="25">
                  <c:v>157.99999999999991</c:v>
                </c:pt>
              </c:numCache>
            </c:numRef>
          </c:xVal>
          <c:yVal>
            <c:numRef>
              <c:f>Лист1!$N$3:$N$28</c:f>
              <c:numCache>
                <c:formatCode>0.00000000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8.0066059999999994E-2</c:v>
                </c:pt>
                <c:pt idx="4">
                  <c:v>2.1183700000000001</c:v>
                </c:pt>
                <c:pt idx="5">
                  <c:v>5.1052070000000001</c:v>
                </c:pt>
                <c:pt idx="6">
                  <c:v>7.8719830000000002</c:v>
                </c:pt>
                <c:pt idx="7">
                  <c:v>10.019539999999999</c:v>
                </c:pt>
                <c:pt idx="8">
                  <c:v>11.24361</c:v>
                </c:pt>
                <c:pt idx="9">
                  <c:v>11.356619999999999</c:v>
                </c:pt>
                <c:pt idx="10">
                  <c:v>10.39099</c:v>
                </c:pt>
                <c:pt idx="11">
                  <c:v>8.5303649999999998</c:v>
                </c:pt>
                <c:pt idx="12">
                  <c:v>6.0534470000000002</c:v>
                </c:pt>
                <c:pt idx="13">
                  <c:v>3.2918280000000002</c:v>
                </c:pt>
                <c:pt idx="14">
                  <c:v>0.5802889</c:v>
                </c:pt>
                <c:pt idx="15">
                  <c:v>-1.7872269999999999</c:v>
                </c:pt>
                <c:pt idx="16">
                  <c:v>-3.5890520000000001</c:v>
                </c:pt>
                <c:pt idx="17">
                  <c:v>-4.6944739999999996</c:v>
                </c:pt>
                <c:pt idx="18">
                  <c:v>-5.0690749999999998</c:v>
                </c:pt>
                <c:pt idx="19">
                  <c:v>-4.7675770000000002</c:v>
                </c:pt>
                <c:pt idx="20">
                  <c:v>-3.9166620000000001</c:v>
                </c:pt>
                <c:pt idx="21">
                  <c:v>-2.6912829999999999</c:v>
                </c:pt>
                <c:pt idx="22">
                  <c:v>-1.2880860000000001</c:v>
                </c:pt>
                <c:pt idx="23">
                  <c:v>0.1005344</c:v>
                </c:pt>
                <c:pt idx="24">
                  <c:v>1.3087089999999999</c:v>
                </c:pt>
                <c:pt idx="25">
                  <c:v>2.2134109999999998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39-4587-81F1-5BF1C6EB65C4}"/>
            </c:ext>
          </c:extLst>
        </c:ser>
        <c:ser>
          <c:idx val="3"/>
          <c:order val="3"/>
          <c:tx>
            <c:strRef>
              <c:f>Лист1!$S$1</c:f>
              <c:strCache>
                <c:ptCount val="1"/>
                <c:pt idx="0">
                  <c:v>Lambada ПИД-регулятор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Лист1!$S$3:$S$28</c:f>
              <c:numCache>
                <c:formatCode>0.00</c:formatCode>
                <c:ptCount val="26"/>
                <c:pt idx="0">
                  <c:v>0</c:v>
                </c:pt>
                <c:pt idx="1">
                  <c:v>6.32</c:v>
                </c:pt>
                <c:pt idx="2">
                  <c:v>12.64</c:v>
                </c:pt>
                <c:pt idx="3">
                  <c:v>18.96</c:v>
                </c:pt>
                <c:pt idx="4">
                  <c:v>25.28</c:v>
                </c:pt>
                <c:pt idx="5">
                  <c:v>31.6</c:v>
                </c:pt>
                <c:pt idx="6">
                  <c:v>37.92</c:v>
                </c:pt>
                <c:pt idx="7">
                  <c:v>44.24</c:v>
                </c:pt>
                <c:pt idx="8">
                  <c:v>50.56</c:v>
                </c:pt>
                <c:pt idx="9">
                  <c:v>56.88</c:v>
                </c:pt>
                <c:pt idx="10">
                  <c:v>63.2</c:v>
                </c:pt>
                <c:pt idx="11">
                  <c:v>69.52000000000001</c:v>
                </c:pt>
                <c:pt idx="12">
                  <c:v>75.84</c:v>
                </c:pt>
                <c:pt idx="13">
                  <c:v>82.16</c:v>
                </c:pt>
                <c:pt idx="14">
                  <c:v>88.47999999999999</c:v>
                </c:pt>
                <c:pt idx="15">
                  <c:v>94.799999999999983</c:v>
                </c:pt>
                <c:pt idx="16">
                  <c:v>101.11999999999998</c:v>
                </c:pt>
                <c:pt idx="17">
                  <c:v>107.43999999999997</c:v>
                </c:pt>
                <c:pt idx="18">
                  <c:v>113.75999999999996</c:v>
                </c:pt>
                <c:pt idx="19">
                  <c:v>120.07999999999996</c:v>
                </c:pt>
                <c:pt idx="20">
                  <c:v>126.39999999999995</c:v>
                </c:pt>
                <c:pt idx="21">
                  <c:v>132.71999999999994</c:v>
                </c:pt>
                <c:pt idx="22">
                  <c:v>139.03999999999994</c:v>
                </c:pt>
                <c:pt idx="23">
                  <c:v>145.35999999999993</c:v>
                </c:pt>
                <c:pt idx="24">
                  <c:v>151.67999999999992</c:v>
                </c:pt>
                <c:pt idx="25">
                  <c:v>157.99999999999991</c:v>
                </c:pt>
              </c:numCache>
            </c:numRef>
          </c:xVal>
          <c:yVal>
            <c:numRef>
              <c:f>Лист1!$T$3:$T$28</c:f>
              <c:numCache>
                <c:formatCode>0.00000000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8.0066059999999994E-2</c:v>
                </c:pt>
                <c:pt idx="4">
                  <c:v>2.1183700000000001</c:v>
                </c:pt>
                <c:pt idx="5">
                  <c:v>5.1052070000000001</c:v>
                </c:pt>
                <c:pt idx="6">
                  <c:v>7.8709290000000003</c:v>
                </c:pt>
                <c:pt idx="7">
                  <c:v>9.6420429999999993</c:v>
                </c:pt>
                <c:pt idx="8">
                  <c:v>9.4348050000000008</c:v>
                </c:pt>
                <c:pt idx="9">
                  <c:v>7.0930710000000001</c:v>
                </c:pt>
                <c:pt idx="10">
                  <c:v>2.959613</c:v>
                </c:pt>
                <c:pt idx="11">
                  <c:v>-2.0921989999999999</c:v>
                </c:pt>
                <c:pt idx="12">
                  <c:v>-6.8262739999999997</c:v>
                </c:pt>
                <c:pt idx="13">
                  <c:v>-10.024290000000001</c:v>
                </c:pt>
                <c:pt idx="14">
                  <c:v>-10.760540000000001</c:v>
                </c:pt>
                <c:pt idx="15">
                  <c:v>-8.6938259999999996</c:v>
                </c:pt>
                <c:pt idx="16">
                  <c:v>-4.1931149999999997</c:v>
                </c:pt>
                <c:pt idx="17">
                  <c:v>1.714993</c:v>
                </c:pt>
                <c:pt idx="18">
                  <c:v>7.5661889999999996</c:v>
                </c:pt>
                <c:pt idx="19">
                  <c:v>11.81739</c:v>
                </c:pt>
                <c:pt idx="20">
                  <c:v>13.245050000000001</c:v>
                </c:pt>
                <c:pt idx="21">
                  <c:v>11.28755</c:v>
                </c:pt>
                <c:pt idx="22">
                  <c:v>6.236415</c:v>
                </c:pt>
                <c:pt idx="23">
                  <c:v>-0.78473760000000004</c:v>
                </c:pt>
                <c:pt idx="24">
                  <c:v>-8.0606170000000006</c:v>
                </c:pt>
                <c:pt idx="25">
                  <c:v>-13.69622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39-4587-81F1-5BF1C6EB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768320"/>
        <c:axId val="224350976"/>
      </c:scatterChart>
      <c:valAx>
        <c:axId val="22176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t</a:t>
                </a:r>
                <a:r>
                  <a:rPr lang="en-AU"/>
                  <a:t>,</a:t>
                </a:r>
                <a:r>
                  <a:rPr lang="en-AU" baseline="0"/>
                  <a:t> c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2687297730549367"/>
              <c:y val="0.35519738604103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4350976"/>
        <c:crosses val="autoZero"/>
        <c:crossBetween val="midCat"/>
        <c:majorUnit val="25"/>
      </c:valAx>
      <c:valAx>
        <c:axId val="2243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h</a:t>
                </a:r>
                <a:r>
                  <a:rPr lang="en-AU"/>
                  <a:t>(</a:t>
                </a:r>
                <a:r>
                  <a:rPr lang="en-AU" i="1"/>
                  <a:t>t</a:t>
                </a:r>
                <a:r>
                  <a:rPr lang="en-AU"/>
                  <a:t>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5.6624019948850815E-2"/>
              <c:y val="7.751620333172639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1768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12889457959879"/>
          <c:y val="0.70408163265306123"/>
          <c:w val="0.51308168745232063"/>
          <c:h val="0.26598585891049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226627620100535E-2"/>
          <c:y val="7.4966287641921578E-2"/>
          <c:w val="0.86086763270346833"/>
          <c:h val="0.8158448082968559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МОМ ПИ-регулятор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Лист1!$D$3:$D$13</c:f>
              <c:numCache>
                <c:formatCode>0</c:formatCode>
                <c:ptCount val="11"/>
                <c:pt idx="0">
                  <c:v>103</c:v>
                </c:pt>
                <c:pt idx="1">
                  <c:v>105</c:v>
                </c:pt>
                <c:pt idx="2">
                  <c:v>109</c:v>
                </c:pt>
                <c:pt idx="3">
                  <c:v>132</c:v>
                </c:pt>
                <c:pt idx="4">
                  <c:v>167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  <c:pt idx="8">
                  <c:v>152</c:v>
                </c:pt>
                <c:pt idx="9">
                  <c:v>118</c:v>
                </c:pt>
                <c:pt idx="10">
                  <c:v>103</c:v>
                </c:pt>
              </c:numCache>
            </c:numRef>
          </c:xVal>
          <c:yVal>
            <c:numRef>
              <c:f>Лист1!$E$3:$E$13</c:f>
              <c:numCache>
                <c:formatCode>0.000</c:formatCode>
                <c:ptCount val="11"/>
                <c:pt idx="0">
                  <c:v>0.79800000000000004</c:v>
                </c:pt>
                <c:pt idx="1">
                  <c:v>0.77400000000000002</c:v>
                </c:pt>
                <c:pt idx="2">
                  <c:v>0.752</c:v>
                </c:pt>
                <c:pt idx="3">
                  <c:v>0.74</c:v>
                </c:pt>
                <c:pt idx="4">
                  <c:v>0.72299999999999998</c:v>
                </c:pt>
                <c:pt idx="5">
                  <c:v>0.75900000000000001</c:v>
                </c:pt>
                <c:pt idx="6">
                  <c:v>0.79200000000000004</c:v>
                </c:pt>
                <c:pt idx="7">
                  <c:v>0.80400000000000005</c:v>
                </c:pt>
                <c:pt idx="8">
                  <c:v>0.88700000000000001</c:v>
                </c:pt>
                <c:pt idx="9">
                  <c:v>0.879</c:v>
                </c:pt>
                <c:pt idx="10">
                  <c:v>0.79800000000000004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8-4515-8036-D33A43D807CB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МОМ ПИД-регулятор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Лист1!$J$3:$J$14</c:f>
              <c:numCache>
                <c:formatCode>General</c:formatCode>
                <c:ptCount val="12"/>
                <c:pt idx="0" formatCode="0">
                  <c:v>94</c:v>
                </c:pt>
                <c:pt idx="1">
                  <c:v>94.6</c:v>
                </c:pt>
                <c:pt idx="2">
                  <c:v>97.8</c:v>
                </c:pt>
                <c:pt idx="3">
                  <c:v>101</c:v>
                </c:pt>
                <c:pt idx="4">
                  <c:v>126</c:v>
                </c:pt>
                <c:pt idx="5">
                  <c:v>182</c:v>
                </c:pt>
                <c:pt idx="6">
                  <c:v>194</c:v>
                </c:pt>
                <c:pt idx="7">
                  <c:v>194</c:v>
                </c:pt>
                <c:pt idx="8">
                  <c:v>152</c:v>
                </c:pt>
                <c:pt idx="9">
                  <c:v>128</c:v>
                </c:pt>
                <c:pt idx="10">
                  <c:v>108</c:v>
                </c:pt>
                <c:pt idx="11">
                  <c:v>94</c:v>
                </c:pt>
              </c:numCache>
            </c:numRef>
          </c:xVal>
          <c:yVal>
            <c:numRef>
              <c:f>Лист1!$K$3:$K$14</c:f>
              <c:numCache>
                <c:formatCode>General</c:formatCode>
                <c:ptCount val="12"/>
                <c:pt idx="0">
                  <c:v>0.68400000000000005</c:v>
                </c:pt>
                <c:pt idx="1">
                  <c:v>0.68100000000000005</c:v>
                </c:pt>
                <c:pt idx="2">
                  <c:v>0.66500000000000004</c:v>
                </c:pt>
                <c:pt idx="3">
                  <c:v>0.64900000000000002</c:v>
                </c:pt>
                <c:pt idx="4">
                  <c:v>0.629</c:v>
                </c:pt>
                <c:pt idx="5">
                  <c:v>0.68</c:v>
                </c:pt>
                <c:pt idx="6">
                  <c:v>0.72499999999999998</c:v>
                </c:pt>
                <c:pt idx="7">
                  <c:v>0.73799999999999999</c:v>
                </c:pt>
                <c:pt idx="8">
                  <c:v>0.84099999999999997</c:v>
                </c:pt>
                <c:pt idx="9">
                  <c:v>0.81499999999999995</c:v>
                </c:pt>
                <c:pt idx="10">
                  <c:v>0.77300000000000002</c:v>
                </c:pt>
                <c:pt idx="11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8-4515-8036-D33A43D807CB}"/>
            </c:ext>
          </c:extLst>
        </c:ser>
        <c:ser>
          <c:idx val="2"/>
          <c:order val="2"/>
          <c:tx>
            <c:strRef>
              <c:f>Лист1!$M$1</c:f>
              <c:strCache>
                <c:ptCount val="1"/>
                <c:pt idx="0">
                  <c:v>Lambada ПИ-регулятор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Лист1!$P$3:$P$11</c:f>
              <c:numCache>
                <c:formatCode>0</c:formatCode>
                <c:ptCount val="9"/>
                <c:pt idx="0">
                  <c:v>108</c:v>
                </c:pt>
                <c:pt idx="1">
                  <c:v>148</c:v>
                </c:pt>
                <c:pt idx="2">
                  <c:v>152</c:v>
                </c:pt>
                <c:pt idx="3">
                  <c:v>194</c:v>
                </c:pt>
                <c:pt idx="4">
                  <c:v>194</c:v>
                </c:pt>
                <c:pt idx="5">
                  <c:v>170</c:v>
                </c:pt>
                <c:pt idx="6">
                  <c:v>160</c:v>
                </c:pt>
                <c:pt idx="7">
                  <c:v>150</c:v>
                </c:pt>
                <c:pt idx="8">
                  <c:v>108</c:v>
                </c:pt>
              </c:numCache>
            </c:numRef>
          </c:xVal>
          <c:yVal>
            <c:numRef>
              <c:f>Лист1!$Q$3:$Q$11</c:f>
              <c:numCache>
                <c:formatCode>0.000</c:formatCode>
                <c:ptCount val="9"/>
                <c:pt idx="0">
                  <c:v>0.78</c:v>
                </c:pt>
                <c:pt idx="1">
                  <c:v>0.86299999999999999</c:v>
                </c:pt>
                <c:pt idx="2">
                  <c:v>0.85599999999999998</c:v>
                </c:pt>
                <c:pt idx="3">
                  <c:v>0.76100000000000001</c:v>
                </c:pt>
                <c:pt idx="4">
                  <c:v>0.749</c:v>
                </c:pt>
                <c:pt idx="5">
                  <c:v>0.65900000000000003</c:v>
                </c:pt>
                <c:pt idx="6">
                  <c:v>0.67800000000000005</c:v>
                </c:pt>
                <c:pt idx="7">
                  <c:v>0.69799999999999995</c:v>
                </c:pt>
                <c:pt idx="8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C8-4515-8036-D33A43D8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13824"/>
        <c:axId val="224815744"/>
      </c:scatterChart>
      <c:valAx>
        <c:axId val="22481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t</a:t>
                </a:r>
                <a:r>
                  <a:rPr lang="en-AU"/>
                  <a:t>,</a:t>
                </a:r>
                <a:r>
                  <a:rPr lang="en-AU" baseline="0"/>
                  <a:t> c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114100974254022"/>
              <c:y val="0.81438105951041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4815744"/>
        <c:crosses val="autoZero"/>
        <c:crossBetween val="midCat"/>
        <c:majorUnit val="25"/>
      </c:valAx>
      <c:valAx>
        <c:axId val="2248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Rd</a:t>
                </a:r>
                <a:endParaRPr lang="ru-RU" i="1"/>
              </a:p>
            </c:rich>
          </c:tx>
          <c:layout>
            <c:manualLayout>
              <c:xMode val="edge"/>
              <c:yMode val="edge"/>
              <c:x val="5.6624019948850815E-2"/>
              <c:y val="7.751620333172639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481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8154075970977378"/>
          <c:y val="0.56122448979591832"/>
          <c:w val="0.51308168745232063"/>
          <c:h val="0.26598585891049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0226627620100535E-2"/>
          <c:y val="7.4966287641921578E-2"/>
          <c:w val="0.86086763270346833"/>
          <c:h val="0.81584480829685591"/>
        </c:manualLayout>
      </c:layout>
      <c:scatterChart>
        <c:scatterStyle val="smoothMarker"/>
        <c:varyColors val="0"/>
        <c:ser>
          <c:idx val="2"/>
          <c:order val="0"/>
          <c:tx>
            <c:strRef>
              <c:f>Лист1!$S$1</c:f>
              <c:strCache>
                <c:ptCount val="1"/>
                <c:pt idx="0">
                  <c:v>Lambada ПИД-регулятор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Лист1!$V$3:$V$15</c:f>
              <c:numCache>
                <c:formatCode>0</c:formatCode>
                <c:ptCount val="13"/>
                <c:pt idx="0">
                  <c:v>129</c:v>
                </c:pt>
                <c:pt idx="1">
                  <c:v>129</c:v>
                </c:pt>
                <c:pt idx="2">
                  <c:v>151</c:v>
                </c:pt>
                <c:pt idx="3">
                  <c:v>163</c:v>
                </c:pt>
                <c:pt idx="4">
                  <c:v>173</c:v>
                </c:pt>
                <c:pt idx="5">
                  <c:v>183</c:v>
                </c:pt>
                <c:pt idx="6">
                  <c:v>183</c:v>
                </c:pt>
                <c:pt idx="7">
                  <c:v>182</c:v>
                </c:pt>
                <c:pt idx="8">
                  <c:v>170</c:v>
                </c:pt>
                <c:pt idx="9">
                  <c:v>160</c:v>
                </c:pt>
                <c:pt idx="10">
                  <c:v>150</c:v>
                </c:pt>
                <c:pt idx="11">
                  <c:v>139</c:v>
                </c:pt>
                <c:pt idx="12">
                  <c:v>129</c:v>
                </c:pt>
              </c:numCache>
            </c:numRef>
          </c:xVal>
          <c:yVal>
            <c:numRef>
              <c:f>Лист1!$W$3:$W$15</c:f>
              <c:numCache>
                <c:formatCode>0.000</c:formatCode>
                <c:ptCount val="13"/>
                <c:pt idx="0">
                  <c:v>0.64600000000000002</c:v>
                </c:pt>
                <c:pt idx="1">
                  <c:v>0.66100000000000003</c:v>
                </c:pt>
                <c:pt idx="2">
                  <c:v>2.44</c:v>
                </c:pt>
                <c:pt idx="3">
                  <c:v>3.36</c:v>
                </c:pt>
                <c:pt idx="4">
                  <c:v>3.6</c:v>
                </c:pt>
                <c:pt idx="5">
                  <c:v>3.63</c:v>
                </c:pt>
                <c:pt idx="6">
                  <c:v>1.5</c:v>
                </c:pt>
                <c:pt idx="7">
                  <c:v>0.62</c:v>
                </c:pt>
                <c:pt idx="8">
                  <c:v>0.53600000000000003</c:v>
                </c:pt>
                <c:pt idx="9">
                  <c:v>0.55700000000000005</c:v>
                </c:pt>
                <c:pt idx="10">
                  <c:v>0.57999999999999996</c:v>
                </c:pt>
                <c:pt idx="11">
                  <c:v>0.61</c:v>
                </c:pt>
                <c:pt idx="12">
                  <c:v>0.64600000000000002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F8-4422-B485-09057E568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58496"/>
        <c:axId val="224860416"/>
      </c:scatterChart>
      <c:valAx>
        <c:axId val="22485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t</a:t>
                </a:r>
                <a:r>
                  <a:rPr lang="en-AU"/>
                  <a:t>,</a:t>
                </a:r>
                <a:r>
                  <a:rPr lang="en-AU" baseline="0"/>
                  <a:t> c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114100974254022"/>
              <c:y val="0.81438105951041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4860416"/>
        <c:crosses val="autoZero"/>
        <c:crossBetween val="midCat"/>
        <c:majorUnit val="25"/>
      </c:valAx>
      <c:valAx>
        <c:axId val="22486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 i="1"/>
                  <a:t>Rd</a:t>
                </a:r>
                <a:endParaRPr lang="ru-RU" i="1"/>
              </a:p>
            </c:rich>
          </c:tx>
          <c:layout>
            <c:manualLayout>
              <c:xMode val="edge"/>
              <c:yMode val="edge"/>
              <c:x val="5.6624019948850815E-2"/>
              <c:y val="7.751620333172639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485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746905676483145"/>
          <c:y val="0"/>
          <c:w val="0.51308168745232063"/>
          <c:h val="7.550966843430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33</xdr:col>
      <xdr:colOff>464820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22</xdr:row>
      <xdr:rowOff>0</xdr:rowOff>
    </xdr:from>
    <xdr:to>
      <xdr:col>33</xdr:col>
      <xdr:colOff>464820</xdr:colOff>
      <xdr:row>41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43</xdr:row>
      <xdr:rowOff>0</xdr:rowOff>
    </xdr:from>
    <xdr:to>
      <xdr:col>39</xdr:col>
      <xdr:colOff>464820</xdr:colOff>
      <xdr:row>62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workbookViewId="0">
      <selection activeCell="I26" sqref="I26"/>
    </sheetView>
  </sheetViews>
  <sheetFormatPr defaultRowHeight="14.45"/>
  <cols>
    <col min="2" max="2" width="11.42578125" bestFit="1" customWidth="1"/>
    <col min="7" max="7" width="8.85546875" customWidth="1"/>
    <col min="8" max="8" width="12.42578125" bestFit="1" customWidth="1"/>
    <col min="9" max="9" width="11.140625" bestFit="1" customWidth="1"/>
    <col min="10" max="10" width="8.85546875" customWidth="1"/>
    <col min="12" max="12" width="10.42578125" bestFit="1" customWidth="1"/>
    <col min="14" max="14" width="12.28515625" bestFit="1" customWidth="1"/>
    <col min="20" max="20" width="13.28515625" bestFit="1" customWidth="1"/>
  </cols>
  <sheetData>
    <row r="1" spans="1:24">
      <c r="A1" s="15" t="s">
        <v>0</v>
      </c>
      <c r="B1" s="15"/>
      <c r="C1" s="15"/>
      <c r="D1" s="15"/>
      <c r="E1" s="15"/>
      <c r="G1" s="15" t="s">
        <v>1</v>
      </c>
      <c r="H1" s="15"/>
      <c r="I1" s="15"/>
      <c r="J1" s="15"/>
      <c r="K1" s="15"/>
      <c r="M1" s="15" t="s">
        <v>2</v>
      </c>
      <c r="N1" s="15"/>
      <c r="O1" s="15"/>
      <c r="P1" s="15"/>
      <c r="Q1" s="15"/>
      <c r="S1" s="15" t="s">
        <v>3</v>
      </c>
      <c r="T1" s="15"/>
      <c r="U1" s="15"/>
      <c r="V1" s="15"/>
      <c r="W1" s="15"/>
      <c r="X1" s="2"/>
    </row>
    <row r="2" spans="1:24" ht="15.6">
      <c r="A2" s="13" t="s">
        <v>4</v>
      </c>
      <c r="B2" s="13" t="s">
        <v>5</v>
      </c>
      <c r="C2" s="2"/>
      <c r="D2" s="13" t="s">
        <v>6</v>
      </c>
      <c r="E2" s="14" t="s">
        <v>7</v>
      </c>
      <c r="G2" s="13" t="s">
        <v>4</v>
      </c>
      <c r="H2" s="13" t="s">
        <v>5</v>
      </c>
      <c r="I2" s="9"/>
      <c r="J2" s="13" t="s">
        <v>6</v>
      </c>
      <c r="K2" s="14" t="s">
        <v>7</v>
      </c>
      <c r="M2" s="13" t="s">
        <v>4</v>
      </c>
      <c r="N2" s="13" t="s">
        <v>5</v>
      </c>
      <c r="O2" s="2"/>
      <c r="P2" s="13" t="s">
        <v>6</v>
      </c>
      <c r="Q2" s="14" t="s">
        <v>7</v>
      </c>
      <c r="S2" s="13" t="s">
        <v>4</v>
      </c>
      <c r="T2" s="13" t="s">
        <v>5</v>
      </c>
      <c r="U2" s="2"/>
      <c r="V2" s="13" t="s">
        <v>6</v>
      </c>
      <c r="W2" s="14" t="s">
        <v>7</v>
      </c>
    </row>
    <row r="3" spans="1:24">
      <c r="A3" s="3">
        <v>0</v>
      </c>
      <c r="B3" s="10">
        <v>0</v>
      </c>
      <c r="C3" s="2"/>
      <c r="D3" s="7">
        <v>103</v>
      </c>
      <c r="E3" s="8">
        <v>0.79800000000000004</v>
      </c>
      <c r="G3" s="11">
        <v>0</v>
      </c>
      <c r="H3" s="12">
        <v>0</v>
      </c>
      <c r="I3" s="9"/>
      <c r="J3" s="5">
        <v>94</v>
      </c>
      <c r="K3" s="4">
        <v>0.68400000000000005</v>
      </c>
      <c r="M3" s="11">
        <v>0</v>
      </c>
      <c r="N3" s="12">
        <v>0</v>
      </c>
      <c r="P3" s="5">
        <v>108</v>
      </c>
      <c r="Q3" s="6">
        <v>0.78</v>
      </c>
      <c r="S3" s="11">
        <v>0</v>
      </c>
      <c r="T3" s="12">
        <v>0</v>
      </c>
      <c r="V3" s="5">
        <v>129</v>
      </c>
      <c r="W3" s="6">
        <v>0.64600000000000002</v>
      </c>
    </row>
    <row r="4" spans="1:24">
      <c r="A4" s="3">
        <f>A3+3.16</f>
        <v>3.16</v>
      </c>
      <c r="B4" s="10">
        <v>0</v>
      </c>
      <c r="D4" s="7">
        <v>105</v>
      </c>
      <c r="E4" s="8">
        <v>0.77400000000000002</v>
      </c>
      <c r="G4" s="11">
        <f>G3+6.32</f>
        <v>6.32</v>
      </c>
      <c r="H4" s="12">
        <v>0</v>
      </c>
      <c r="I4" s="9"/>
      <c r="J4" s="4">
        <v>94.6</v>
      </c>
      <c r="K4" s="4">
        <v>0.68100000000000005</v>
      </c>
      <c r="M4" s="11">
        <f>M3+6.32</f>
        <v>6.32</v>
      </c>
      <c r="N4" s="12">
        <v>0</v>
      </c>
      <c r="P4" s="5">
        <v>148</v>
      </c>
      <c r="Q4" s="6">
        <v>0.86299999999999999</v>
      </c>
      <c r="S4" s="11">
        <f>S3+6.32</f>
        <v>6.32</v>
      </c>
      <c r="T4" s="12">
        <v>0</v>
      </c>
      <c r="V4" s="5">
        <v>129</v>
      </c>
      <c r="W4" s="6">
        <v>0.66100000000000003</v>
      </c>
    </row>
    <row r="5" spans="1:24">
      <c r="A5" s="3">
        <f t="shared" ref="A5:A42" si="0">A4+3.16</f>
        <v>6.32</v>
      </c>
      <c r="B5" s="10">
        <v>0</v>
      </c>
      <c r="D5" s="7">
        <v>109</v>
      </c>
      <c r="E5" s="8">
        <v>0.752</v>
      </c>
      <c r="G5" s="11">
        <f t="shared" ref="G5:G28" si="1">G4+6.32</f>
        <v>12.64</v>
      </c>
      <c r="H5" s="12">
        <v>0</v>
      </c>
      <c r="I5" s="9"/>
      <c r="J5" s="4">
        <v>97.8</v>
      </c>
      <c r="K5" s="4">
        <v>0.66500000000000004</v>
      </c>
      <c r="M5" s="11">
        <f t="shared" ref="M5:M28" si="2">M4+6.32</f>
        <v>12.64</v>
      </c>
      <c r="N5" s="12">
        <v>0</v>
      </c>
      <c r="P5" s="5">
        <v>152</v>
      </c>
      <c r="Q5" s="6">
        <v>0.85599999999999998</v>
      </c>
      <c r="S5" s="11">
        <f t="shared" ref="S5:S28" si="3">S4+6.32</f>
        <v>12.64</v>
      </c>
      <c r="T5" s="12">
        <v>0</v>
      </c>
      <c r="V5" s="5">
        <v>151</v>
      </c>
      <c r="W5" s="6">
        <v>2.44</v>
      </c>
    </row>
    <row r="6" spans="1:24">
      <c r="A6" s="3">
        <f t="shared" si="0"/>
        <v>9.48</v>
      </c>
      <c r="B6" s="10">
        <v>0</v>
      </c>
      <c r="D6" s="7">
        <v>132</v>
      </c>
      <c r="E6" s="8">
        <v>0.74</v>
      </c>
      <c r="G6" s="11">
        <f t="shared" si="1"/>
        <v>18.96</v>
      </c>
      <c r="H6" s="12">
        <v>8.0066059999999994E-2</v>
      </c>
      <c r="I6" s="9"/>
      <c r="J6" s="4">
        <v>101</v>
      </c>
      <c r="K6" s="4">
        <v>0.64900000000000002</v>
      </c>
      <c r="M6" s="11">
        <f t="shared" si="2"/>
        <v>18.96</v>
      </c>
      <c r="N6" s="12">
        <v>8.0066059999999994E-2</v>
      </c>
      <c r="P6" s="5">
        <v>194</v>
      </c>
      <c r="Q6" s="6">
        <v>0.76100000000000001</v>
      </c>
      <c r="S6" s="11">
        <f t="shared" si="3"/>
        <v>18.96</v>
      </c>
      <c r="T6" s="12">
        <v>8.0066059999999994E-2</v>
      </c>
      <c r="V6" s="5">
        <v>163</v>
      </c>
      <c r="W6" s="6">
        <v>3.36</v>
      </c>
    </row>
    <row r="7" spans="1:24">
      <c r="A7" s="3">
        <f t="shared" si="0"/>
        <v>12.64</v>
      </c>
      <c r="B7" s="10">
        <v>0</v>
      </c>
      <c r="D7" s="7">
        <v>167</v>
      </c>
      <c r="E7" s="8">
        <v>0.72299999999999998</v>
      </c>
      <c r="G7" s="11">
        <f t="shared" si="1"/>
        <v>25.28</v>
      </c>
      <c r="H7" s="12">
        <v>2.1183700000000001</v>
      </c>
      <c r="I7" s="9"/>
      <c r="J7" s="4">
        <v>126</v>
      </c>
      <c r="K7" s="4">
        <v>0.629</v>
      </c>
      <c r="M7" s="11">
        <f t="shared" si="2"/>
        <v>25.28</v>
      </c>
      <c r="N7" s="12">
        <v>2.1183700000000001</v>
      </c>
      <c r="P7" s="5">
        <v>194</v>
      </c>
      <c r="Q7" s="6">
        <v>0.749</v>
      </c>
      <c r="S7" s="11">
        <f t="shared" si="3"/>
        <v>25.28</v>
      </c>
      <c r="T7" s="12">
        <v>2.1183700000000001</v>
      </c>
      <c r="V7" s="5">
        <v>173</v>
      </c>
      <c r="W7" s="6">
        <v>3.6</v>
      </c>
    </row>
    <row r="8" spans="1:24">
      <c r="A8" s="3">
        <f t="shared" si="0"/>
        <v>15.8</v>
      </c>
      <c r="B8" s="10">
        <v>0</v>
      </c>
      <c r="D8" s="7">
        <v>182</v>
      </c>
      <c r="E8" s="8">
        <v>0.75900000000000001</v>
      </c>
      <c r="G8" s="11">
        <f t="shared" si="1"/>
        <v>31.6</v>
      </c>
      <c r="H8" s="12">
        <v>5.1052070000000001</v>
      </c>
      <c r="I8" s="9"/>
      <c r="J8" s="4">
        <v>182</v>
      </c>
      <c r="K8" s="4">
        <v>0.68</v>
      </c>
      <c r="M8" s="11">
        <f t="shared" si="2"/>
        <v>31.6</v>
      </c>
      <c r="N8" s="12">
        <v>5.1052070000000001</v>
      </c>
      <c r="P8" s="5">
        <v>170</v>
      </c>
      <c r="Q8" s="6">
        <v>0.65900000000000003</v>
      </c>
      <c r="S8" s="11">
        <f t="shared" si="3"/>
        <v>31.6</v>
      </c>
      <c r="T8" s="12">
        <v>5.1052070000000001</v>
      </c>
      <c r="V8" s="5">
        <v>183</v>
      </c>
      <c r="W8" s="6">
        <v>3.63</v>
      </c>
    </row>
    <row r="9" spans="1:24">
      <c r="A9" s="3">
        <f t="shared" si="0"/>
        <v>18.96</v>
      </c>
      <c r="B9" s="10">
        <v>8.0066059999999994E-2</v>
      </c>
      <c r="D9" s="7">
        <v>194</v>
      </c>
      <c r="E9" s="8">
        <v>0.79200000000000004</v>
      </c>
      <c r="G9" s="11">
        <f t="shared" si="1"/>
        <v>37.92</v>
      </c>
      <c r="H9" s="12">
        <v>7.8717180000000004</v>
      </c>
      <c r="J9" s="4">
        <v>194</v>
      </c>
      <c r="K9" s="4">
        <v>0.72499999999999998</v>
      </c>
      <c r="M9" s="11">
        <f t="shared" si="2"/>
        <v>37.92</v>
      </c>
      <c r="N9" s="12">
        <v>7.8719830000000002</v>
      </c>
      <c r="P9" s="5">
        <v>160</v>
      </c>
      <c r="Q9" s="6">
        <v>0.67800000000000005</v>
      </c>
      <c r="S9" s="11">
        <f t="shared" si="3"/>
        <v>37.92</v>
      </c>
      <c r="T9" s="12">
        <v>7.8709290000000003</v>
      </c>
      <c r="V9" s="5">
        <v>183</v>
      </c>
      <c r="W9" s="6">
        <v>1.5</v>
      </c>
    </row>
    <row r="10" spans="1:24">
      <c r="A10" s="3">
        <f t="shared" si="0"/>
        <v>22.12</v>
      </c>
      <c r="B10" s="10">
        <v>0.85325819999999997</v>
      </c>
      <c r="D10" s="7">
        <v>194</v>
      </c>
      <c r="E10" s="8">
        <v>0.80400000000000005</v>
      </c>
      <c r="G10" s="11">
        <f t="shared" si="1"/>
        <v>44.24</v>
      </c>
      <c r="H10" s="12">
        <v>9.9408220000000007</v>
      </c>
      <c r="J10" s="4">
        <v>194</v>
      </c>
      <c r="K10" s="4">
        <v>0.73799999999999999</v>
      </c>
      <c r="M10" s="11">
        <f t="shared" si="2"/>
        <v>44.24</v>
      </c>
      <c r="N10" s="12">
        <v>10.019539999999999</v>
      </c>
      <c r="P10" s="5">
        <v>150</v>
      </c>
      <c r="Q10" s="6">
        <v>0.69799999999999995</v>
      </c>
      <c r="S10" s="11">
        <f t="shared" si="3"/>
        <v>44.24</v>
      </c>
      <c r="T10" s="12">
        <v>9.6420429999999993</v>
      </c>
      <c r="V10" s="5">
        <v>182</v>
      </c>
      <c r="W10" s="6">
        <v>0.62</v>
      </c>
    </row>
    <row r="11" spans="1:24">
      <c r="A11" s="3">
        <f t="shared" si="0"/>
        <v>25.28</v>
      </c>
      <c r="B11" s="10">
        <v>2.1183700000000001</v>
      </c>
      <c r="D11" s="7">
        <v>152</v>
      </c>
      <c r="E11" s="8">
        <v>0.88700000000000001</v>
      </c>
      <c r="G11" s="11">
        <f t="shared" si="1"/>
        <v>50.56</v>
      </c>
      <c r="H11" s="12">
        <v>10.94411</v>
      </c>
      <c r="J11" s="4">
        <v>152</v>
      </c>
      <c r="K11" s="4">
        <v>0.84099999999999997</v>
      </c>
      <c r="M11" s="11">
        <f t="shared" si="2"/>
        <v>50.56</v>
      </c>
      <c r="N11" s="12">
        <v>11.24361</v>
      </c>
      <c r="P11" s="5">
        <v>108</v>
      </c>
      <c r="Q11" s="6">
        <v>0.78</v>
      </c>
      <c r="S11" s="11">
        <f t="shared" si="3"/>
        <v>50.56</v>
      </c>
      <c r="T11" s="12">
        <v>9.4348050000000008</v>
      </c>
      <c r="V11" s="5">
        <v>170</v>
      </c>
      <c r="W11" s="6">
        <v>0.53600000000000003</v>
      </c>
    </row>
    <row r="12" spans="1:24">
      <c r="A12" s="3">
        <f t="shared" si="0"/>
        <v>28.44</v>
      </c>
      <c r="B12" s="10">
        <v>3.5938599999999998</v>
      </c>
      <c r="D12" s="7">
        <v>118</v>
      </c>
      <c r="E12" s="8">
        <v>0.879</v>
      </c>
      <c r="G12" s="11">
        <f t="shared" si="1"/>
        <v>56.88</v>
      </c>
      <c r="H12" s="12">
        <v>10.82691</v>
      </c>
      <c r="J12" s="4">
        <v>128</v>
      </c>
      <c r="K12" s="4">
        <v>0.81499999999999995</v>
      </c>
      <c r="M12" s="11">
        <f t="shared" si="2"/>
        <v>56.88</v>
      </c>
      <c r="N12" s="12">
        <v>11.356619999999999</v>
      </c>
      <c r="S12" s="11">
        <f t="shared" si="3"/>
        <v>56.88</v>
      </c>
      <c r="T12" s="12">
        <v>7.0930710000000001</v>
      </c>
      <c r="V12" s="5">
        <v>160</v>
      </c>
      <c r="W12" s="6">
        <v>0.55700000000000005</v>
      </c>
    </row>
    <row r="13" spans="1:24">
      <c r="A13" s="3">
        <f t="shared" si="0"/>
        <v>31.6</v>
      </c>
      <c r="B13" s="10">
        <v>5.1052070000000001</v>
      </c>
      <c r="D13" s="7">
        <v>103</v>
      </c>
      <c r="E13" s="8">
        <v>0.79800000000000004</v>
      </c>
      <c r="G13" s="11">
        <f t="shared" si="1"/>
        <v>63.2</v>
      </c>
      <c r="H13" s="12">
        <v>9.7517420000000001</v>
      </c>
      <c r="J13" s="4">
        <v>108</v>
      </c>
      <c r="K13" s="4">
        <v>0.77300000000000002</v>
      </c>
      <c r="M13" s="11">
        <f t="shared" si="2"/>
        <v>63.2</v>
      </c>
      <c r="N13" s="12">
        <v>10.39099</v>
      </c>
      <c r="S13" s="11">
        <f t="shared" si="3"/>
        <v>63.2</v>
      </c>
      <c r="T13" s="12">
        <v>2.959613</v>
      </c>
      <c r="V13" s="5">
        <v>150</v>
      </c>
      <c r="W13" s="6">
        <v>0.57999999999999996</v>
      </c>
    </row>
    <row r="14" spans="1:24">
      <c r="A14" s="3">
        <f t="shared" si="0"/>
        <v>34.760000000000005</v>
      </c>
      <c r="B14" s="10">
        <v>6.5497030000000001</v>
      </c>
      <c r="F14" s="1"/>
      <c r="G14" s="11">
        <f t="shared" si="1"/>
        <v>69.52000000000001</v>
      </c>
      <c r="H14" s="12">
        <v>7.998221</v>
      </c>
      <c r="J14" s="4">
        <v>94</v>
      </c>
      <c r="K14" s="4">
        <v>0.68400000000000005</v>
      </c>
      <c r="M14" s="11">
        <f t="shared" si="2"/>
        <v>69.52000000000001</v>
      </c>
      <c r="N14" s="12">
        <v>8.5303649999999998</v>
      </c>
      <c r="S14" s="11">
        <f t="shared" si="3"/>
        <v>69.52000000000001</v>
      </c>
      <c r="T14" s="12">
        <v>-2.0921989999999999</v>
      </c>
      <c r="V14" s="5">
        <v>139</v>
      </c>
      <c r="W14" s="6">
        <v>0.61</v>
      </c>
    </row>
    <row r="15" spans="1:24">
      <c r="A15" s="3">
        <f t="shared" si="0"/>
        <v>37.92</v>
      </c>
      <c r="B15" s="10">
        <v>7.8719900000000003</v>
      </c>
      <c r="F15" s="1"/>
      <c r="G15" s="11">
        <f t="shared" si="1"/>
        <v>75.84</v>
      </c>
      <c r="H15" s="12">
        <v>5.9005460000000003</v>
      </c>
      <c r="M15" s="11">
        <f t="shared" si="2"/>
        <v>75.84</v>
      </c>
      <c r="N15" s="12">
        <v>6.0534470000000002</v>
      </c>
      <c r="S15" s="11">
        <f t="shared" si="3"/>
        <v>75.84</v>
      </c>
      <c r="T15" s="12">
        <v>-6.8262739999999997</v>
      </c>
      <c r="V15" s="5">
        <v>129</v>
      </c>
      <c r="W15" s="6">
        <v>0.64600000000000002</v>
      </c>
    </row>
    <row r="16" spans="1:24">
      <c r="A16" s="3">
        <f t="shared" si="0"/>
        <v>41.08</v>
      </c>
      <c r="B16" s="10">
        <v>9.0442520000000002</v>
      </c>
      <c r="G16" s="11">
        <f t="shared" si="1"/>
        <v>82.16</v>
      </c>
      <c r="H16" s="12">
        <v>3.7776040000000002</v>
      </c>
      <c r="M16" s="11">
        <f t="shared" si="2"/>
        <v>82.16</v>
      </c>
      <c r="N16" s="12">
        <v>3.2918280000000002</v>
      </c>
      <c r="S16" s="11">
        <f t="shared" si="3"/>
        <v>82.16</v>
      </c>
      <c r="T16" s="12">
        <v>-10.024290000000001</v>
      </c>
    </row>
    <row r="17" spans="1:24">
      <c r="A17" s="3">
        <f t="shared" si="0"/>
        <v>44.239999999999995</v>
      </c>
      <c r="B17" s="10">
        <v>10.0441</v>
      </c>
      <c r="G17" s="11">
        <f t="shared" si="1"/>
        <v>88.47999999999999</v>
      </c>
      <c r="H17" s="12">
        <v>1.8869560000000001</v>
      </c>
      <c r="M17" s="11">
        <f t="shared" si="2"/>
        <v>88.47999999999999</v>
      </c>
      <c r="N17" s="12">
        <v>0.5802889</v>
      </c>
      <c r="S17" s="11">
        <f t="shared" si="3"/>
        <v>88.47999999999999</v>
      </c>
      <c r="T17" s="12">
        <v>-10.760540000000001</v>
      </c>
    </row>
    <row r="18" spans="1:24">
      <c r="A18" s="3">
        <f t="shared" si="0"/>
        <v>47.399999999999991</v>
      </c>
      <c r="B18" s="10">
        <v>10.85253</v>
      </c>
      <c r="F18" s="1"/>
      <c r="G18" s="11">
        <f t="shared" si="1"/>
        <v>94.799999999999983</v>
      </c>
      <c r="H18" s="12">
        <v>0.40003300000000003</v>
      </c>
      <c r="M18" s="11">
        <f t="shared" si="2"/>
        <v>94.799999999999983</v>
      </c>
      <c r="N18" s="12">
        <v>-1.7872269999999999</v>
      </c>
      <c r="S18" s="11">
        <f t="shared" si="3"/>
        <v>94.799999999999983</v>
      </c>
      <c r="T18" s="12">
        <v>-8.6938259999999996</v>
      </c>
    </row>
    <row r="19" spans="1:24">
      <c r="A19" s="3">
        <f t="shared" si="0"/>
        <v>50.559999999999988</v>
      </c>
      <c r="B19" s="10">
        <v>11.45886</v>
      </c>
      <c r="F19" s="1"/>
      <c r="G19" s="11">
        <f t="shared" si="1"/>
        <v>101.11999999999998</v>
      </c>
      <c r="H19" s="12">
        <v>-0.60416510000000001</v>
      </c>
      <c r="M19" s="11">
        <f t="shared" si="2"/>
        <v>101.11999999999998</v>
      </c>
      <c r="N19" s="12">
        <v>-3.5890520000000001</v>
      </c>
      <c r="S19" s="11">
        <f t="shared" si="3"/>
        <v>101.11999999999998</v>
      </c>
      <c r="T19" s="12">
        <v>-4.1931149999999997</v>
      </c>
    </row>
    <row r="20" spans="1:24">
      <c r="A20" s="3">
        <f t="shared" si="0"/>
        <v>53.719999999999985</v>
      </c>
      <c r="B20" s="10">
        <v>11.86164</v>
      </c>
      <c r="G20" s="11">
        <f t="shared" si="1"/>
        <v>107.43999999999997</v>
      </c>
      <c r="H20" s="12">
        <v>-1.12951</v>
      </c>
      <c r="M20" s="11">
        <f t="shared" si="2"/>
        <v>107.43999999999997</v>
      </c>
      <c r="N20" s="12">
        <v>-4.6944739999999996</v>
      </c>
      <c r="S20" s="11">
        <f t="shared" si="3"/>
        <v>107.43999999999997</v>
      </c>
      <c r="T20" s="12">
        <v>1.714993</v>
      </c>
    </row>
    <row r="21" spans="1:24">
      <c r="A21" s="3">
        <f t="shared" si="0"/>
        <v>56.879999999999981</v>
      </c>
      <c r="B21" s="10">
        <v>12.067410000000001</v>
      </c>
      <c r="G21" s="11">
        <f t="shared" si="1"/>
        <v>113.75999999999996</v>
      </c>
      <c r="H21" s="12">
        <v>-1.2431760000000001</v>
      </c>
      <c r="M21" s="11">
        <f t="shared" si="2"/>
        <v>113.75999999999996</v>
      </c>
      <c r="N21" s="12">
        <v>-5.0690749999999998</v>
      </c>
      <c r="S21" s="11">
        <f t="shared" si="3"/>
        <v>113.75999999999996</v>
      </c>
      <c r="T21" s="12">
        <v>7.5661889999999996</v>
      </c>
    </row>
    <row r="22" spans="1:24">
      <c r="A22" s="3">
        <f t="shared" si="0"/>
        <v>60.039999999999978</v>
      </c>
      <c r="B22" s="10">
        <v>12.08872</v>
      </c>
      <c r="F22" s="1"/>
      <c r="G22" s="11">
        <f t="shared" si="1"/>
        <v>120.07999999999996</v>
      </c>
      <c r="H22" s="12">
        <v>-1.0513729999999999</v>
      </c>
      <c r="M22" s="11">
        <f t="shared" si="2"/>
        <v>120.07999999999996</v>
      </c>
      <c r="N22" s="12">
        <v>-4.7675770000000002</v>
      </c>
      <c r="S22" s="11">
        <f t="shared" si="3"/>
        <v>120.07999999999996</v>
      </c>
      <c r="T22" s="12">
        <v>11.81739</v>
      </c>
    </row>
    <row r="23" spans="1:24">
      <c r="A23" s="3">
        <f t="shared" si="0"/>
        <v>63.199999999999974</v>
      </c>
      <c r="B23" s="10">
        <v>11.94209</v>
      </c>
      <c r="F23" s="1"/>
      <c r="G23" s="11">
        <f t="shared" si="1"/>
        <v>126.39999999999995</v>
      </c>
      <c r="H23" s="12">
        <v>-0.67495819999999995</v>
      </c>
      <c r="M23" s="11">
        <f t="shared" si="2"/>
        <v>126.39999999999995</v>
      </c>
      <c r="N23" s="12">
        <v>-3.9166620000000001</v>
      </c>
      <c r="S23" s="11">
        <f t="shared" si="3"/>
        <v>126.39999999999995</v>
      </c>
      <c r="T23" s="12">
        <v>13.245050000000001</v>
      </c>
    </row>
    <row r="24" spans="1:24">
      <c r="A24" s="3">
        <f t="shared" si="0"/>
        <v>66.359999999999971</v>
      </c>
      <c r="B24" s="10">
        <v>11.64655</v>
      </c>
      <c r="G24" s="11">
        <f t="shared" si="1"/>
        <v>132.71999999999994</v>
      </c>
      <c r="H24" s="12">
        <v>-0.22894100000000001</v>
      </c>
      <c r="M24" s="11">
        <f t="shared" si="2"/>
        <v>132.71999999999994</v>
      </c>
      <c r="N24" s="12">
        <v>-2.6912829999999999</v>
      </c>
      <c r="S24" s="11">
        <f t="shared" si="3"/>
        <v>132.71999999999994</v>
      </c>
      <c r="T24" s="12">
        <v>11.28755</v>
      </c>
      <c r="X24" s="2"/>
    </row>
    <row r="25" spans="1:24">
      <c r="A25" s="3">
        <f t="shared" si="0"/>
        <v>69.519999999999968</v>
      </c>
      <c r="B25" s="10">
        <v>11.2226</v>
      </c>
      <c r="G25" s="11">
        <f t="shared" si="1"/>
        <v>139.03999999999994</v>
      </c>
      <c r="H25" s="12">
        <v>0.19240470000000001</v>
      </c>
      <c r="M25" s="11">
        <f t="shared" si="2"/>
        <v>139.03999999999994</v>
      </c>
      <c r="N25" s="12">
        <v>-1.2880860000000001</v>
      </c>
      <c r="S25" s="11">
        <f t="shared" si="3"/>
        <v>139.03999999999994</v>
      </c>
      <c r="T25" s="12">
        <v>6.236415</v>
      </c>
    </row>
    <row r="26" spans="1:24">
      <c r="A26" s="3">
        <f t="shared" si="0"/>
        <v>72.679999999999964</v>
      </c>
      <c r="B26" s="10">
        <v>10.69144</v>
      </c>
      <c r="F26" s="1"/>
      <c r="G26" s="11">
        <f t="shared" si="1"/>
        <v>145.35999999999993</v>
      </c>
      <c r="H26" s="12">
        <v>0.52378270000000005</v>
      </c>
      <c r="M26" s="11">
        <f t="shared" si="2"/>
        <v>145.35999999999993</v>
      </c>
      <c r="N26" s="12">
        <v>0.1005344</v>
      </c>
      <c r="S26" s="11">
        <f t="shared" si="3"/>
        <v>145.35999999999993</v>
      </c>
      <c r="T26" s="12">
        <v>-0.78473760000000004</v>
      </c>
    </row>
    <row r="27" spans="1:24">
      <c r="A27" s="3">
        <f t="shared" si="0"/>
        <v>75.839999999999961</v>
      </c>
      <c r="B27" s="10">
        <v>10.07429</v>
      </c>
      <c r="F27" s="1"/>
      <c r="G27" s="11">
        <f t="shared" si="1"/>
        <v>151.67999999999992</v>
      </c>
      <c r="H27" s="12">
        <v>0.73092270000000004</v>
      </c>
      <c r="M27" s="11">
        <f t="shared" si="2"/>
        <v>151.67999999999992</v>
      </c>
      <c r="N27" s="12">
        <v>1.3087089999999999</v>
      </c>
      <c r="S27" s="11">
        <f t="shared" si="3"/>
        <v>151.67999999999992</v>
      </c>
      <c r="T27" s="12">
        <v>-8.0606170000000006</v>
      </c>
    </row>
    <row r="28" spans="1:24">
      <c r="A28" s="3">
        <f t="shared" si="0"/>
        <v>78.999999999999957</v>
      </c>
      <c r="B28" s="10">
        <v>9.3917640000000002</v>
      </c>
      <c r="G28" s="11">
        <f t="shared" si="1"/>
        <v>157.99999999999991</v>
      </c>
      <c r="H28" s="12">
        <v>0.80765819999999999</v>
      </c>
      <c r="M28" s="11">
        <f t="shared" si="2"/>
        <v>157.99999999999991</v>
      </c>
      <c r="N28" s="12">
        <v>2.2134109999999998</v>
      </c>
      <c r="S28" s="11">
        <f t="shared" si="3"/>
        <v>157.99999999999991</v>
      </c>
      <c r="T28" s="12">
        <v>-13.69622</v>
      </c>
    </row>
    <row r="29" spans="1:24">
      <c r="A29" s="3">
        <f t="shared" si="0"/>
        <v>82.159999999999954</v>
      </c>
      <c r="B29" s="10">
        <v>8.6634080000000004</v>
      </c>
    </row>
    <row r="30" spans="1:24">
      <c r="A30" s="3">
        <f t="shared" si="0"/>
        <v>85.319999999999951</v>
      </c>
      <c r="B30" s="10">
        <v>7.9073529999999996</v>
      </c>
      <c r="F30" s="1"/>
    </row>
    <row r="31" spans="1:24">
      <c r="A31" s="3">
        <f t="shared" si="0"/>
        <v>88.479999999999947</v>
      </c>
      <c r="B31" s="10">
        <v>7.1400030000000001</v>
      </c>
      <c r="F31" s="1"/>
    </row>
    <row r="32" spans="1:24">
      <c r="A32" s="3">
        <f t="shared" si="0"/>
        <v>91.639999999999944</v>
      </c>
      <c r="B32" s="10">
        <v>6.3758879999999998</v>
      </c>
    </row>
    <row r="33" spans="1:6">
      <c r="A33" s="3">
        <f t="shared" si="0"/>
        <v>94.79999999999994</v>
      </c>
      <c r="B33" s="10">
        <v>5.6275890000000004</v>
      </c>
    </row>
    <row r="34" spans="1:6">
      <c r="A34" s="3">
        <f t="shared" si="0"/>
        <v>97.959999999999937</v>
      </c>
      <c r="B34" s="10">
        <v>4.9057139999999997</v>
      </c>
      <c r="F34" s="1"/>
    </row>
    <row r="35" spans="1:6">
      <c r="A35" s="3">
        <f t="shared" si="0"/>
        <v>101.11999999999993</v>
      </c>
      <c r="B35" s="10">
        <v>4.2189249999999996</v>
      </c>
      <c r="F35" s="1"/>
    </row>
    <row r="36" spans="1:6">
      <c r="A36" s="3">
        <f t="shared" si="0"/>
        <v>104.27999999999993</v>
      </c>
      <c r="B36" s="10">
        <v>3.5740270000000001</v>
      </c>
    </row>
    <row r="37" spans="1:6">
      <c r="A37" s="3">
        <f t="shared" si="0"/>
        <v>107.43999999999993</v>
      </c>
      <c r="B37" s="10">
        <v>2.9760680000000002</v>
      </c>
    </row>
    <row r="38" spans="1:6">
      <c r="A38" s="3">
        <f t="shared" si="0"/>
        <v>110.59999999999992</v>
      </c>
      <c r="B38" s="10">
        <v>2.4284910000000002</v>
      </c>
      <c r="F38" s="1"/>
    </row>
    <row r="39" spans="1:6">
      <c r="A39" s="3">
        <f t="shared" si="0"/>
        <v>113.75999999999992</v>
      </c>
      <c r="B39" s="10">
        <v>1.933281</v>
      </c>
      <c r="F39" s="1"/>
    </row>
    <row r="40" spans="1:6">
      <c r="A40" s="3">
        <f t="shared" si="0"/>
        <v>116.91999999999992</v>
      </c>
      <c r="B40" s="10">
        <v>1.4911380000000001</v>
      </c>
    </row>
    <row r="41" spans="1:6">
      <c r="A41" s="3">
        <f t="shared" si="0"/>
        <v>120.07999999999991</v>
      </c>
      <c r="B41" s="10">
        <v>1.101642</v>
      </c>
      <c r="F41" s="2"/>
    </row>
    <row r="42" spans="1:6">
      <c r="A42" s="3">
        <f t="shared" si="0"/>
        <v>123.23999999999991</v>
      </c>
      <c r="B42" s="10">
        <v>0.76344009999999995</v>
      </c>
    </row>
  </sheetData>
  <mergeCells count="4">
    <mergeCell ref="A1:E1"/>
    <mergeCell ref="G1:K1"/>
    <mergeCell ref="M1:Q1"/>
    <mergeCell ref="S1:W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Дмитрий Левченко</cp:lastModifiedBy>
  <cp:revision/>
  <dcterms:created xsi:type="dcterms:W3CDTF">2006-09-16T00:00:00Z</dcterms:created>
  <dcterms:modified xsi:type="dcterms:W3CDTF">2026-05-05T12:28:58Z</dcterms:modified>
  <cp:category/>
  <cp:contentStatus/>
</cp:coreProperties>
</file>